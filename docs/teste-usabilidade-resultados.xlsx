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es" state="visible" r:id="rId4"/>
    <sheet sheetId="2" name="Tarefas" state="visible" r:id="rId5"/>
    <sheet sheetId="3" name="SUS" state="visible" r:id="rId6"/>
    <sheet sheetId="4" name="Resumo" state="visible" r:id="rId7"/>
  </sheets>
  <calcPr calcId="171027"/>
</workbook>
</file>

<file path=xl/sharedStrings.xml><?xml version="1.0" encoding="utf-8"?>
<sst xmlns="http://schemas.openxmlformats.org/spreadsheetml/2006/main" count="124" uniqueCount="56">
  <si>
    <t>Código</t>
  </si>
  <si>
    <t>Papel na Comissão</t>
  </si>
  <si>
    <t>Experiência com sistemas (1 a 5)</t>
  </si>
  <si>
    <t>Já participou de comissão de seleção? (sim/não)</t>
  </si>
  <si>
    <t>Data do teste</t>
  </si>
  <si>
    <t>Moderador(a)</t>
  </si>
  <si>
    <t>Observações</t>
  </si>
  <si>
    <t>P1</t>
  </si>
  <si>
    <t>P2</t>
  </si>
  <si>
    <t>P3</t>
  </si>
  <si>
    <t>P4</t>
  </si>
  <si>
    <t>P5</t>
  </si>
  <si>
    <t>Participante</t>
  </si>
  <si>
    <t>Tarefa</t>
  </si>
  <si>
    <t>Tempo-alvo (min)</t>
  </si>
  <si>
    <t>Tempo (mm:ss)</t>
  </si>
  <si>
    <t>Tempo (min)</t>
  </si>
  <si>
    <t>Sucesso (sim/parcial/não)</t>
  </si>
  <si>
    <t>Erros (quantidade)</t>
  </si>
  <si>
    <t>Pedidos de ajuda</t>
  </si>
  <si>
    <t>Erros observados</t>
  </si>
  <si>
    <t>Dúvidas e comentários</t>
  </si>
  <si>
    <t>Severidade do problema (alta/média/baixa)</t>
  </si>
  <si>
    <t>T1 — Abrir a sessão da Comissão</t>
  </si>
  <si>
    <t>T2 — Registrar a admissibilidade de uma proposta</t>
  </si>
  <si>
    <t>T3 — Avaliar um subcritério da D1 e projetá-lo no telão</t>
  </si>
  <si>
    <t>T4 — Cadastrar uma experiência da D2 e conferir a memória de cálculo</t>
  </si>
  <si>
    <t>T5 — Concluir a proposta e gerar a minuta da ata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</si>
  <si>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</si>
  <si>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</si>
  <si>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</si>
  <si>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</si>
  <si>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</si>
  <si>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</si>
  <si>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</si>
  <si>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</si>
  <si>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</si>
  <si>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</si>
  <si>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Nota SUS (0–100)</t>
  </si>
  <si>
    <t>Escala: 1 = discordo totalmente … 5 = concordo totalmente.</t>
  </si>
  <si>
    <t>Eu acho que gostaria de usar este sistema com frequência.</t>
  </si>
  <si>
    <t>Eu acho o sistema desnecessariamente complexo.</t>
  </si>
  <si>
    <t>Eu achei o sistema fácil de usar.</t>
  </si>
  <si>
    <t>Eu acho que precisaria de ajuda de uma pessoa com conhecimentos técnicos para usar o sistema.</t>
  </si>
  <si>
    <t>Eu acho que as várias funções do sistema estão muito bem integradas.</t>
  </si>
  <si>
    <t>Eu acho que o sistema apresenta muita inconsistência.</t>
  </si>
  <si>
    <t>Eu imagino que as pessoas aprenderão a usar este sistema rapidamente.</t>
  </si>
  <si>
    <t>Eu achei o sistema atrapalhado de usar.</t>
  </si>
  <si>
    <t>Eu me senti confiante ao usar o sistema.</t>
  </si>
  <si>
    <t>Eu precisei aprender várias coisas novas antes de conseguir usar o sistema.</t>
  </si>
  <si>
    <t>Tempo médio (min)</t>
  </si>
  <si>
    <t>Taxa de sucesso (sim)</t>
  </si>
  <si>
    <t>Erros (média)</t>
  </si>
  <si>
    <t>Pedidos de ajuda (total)</t>
  </si>
  <si>
    <t>SUS médio (meta ≥ 68; ≥ 80 = muito bom)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</si>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</sst>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5FAA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0" fillId="3" borderId="0" xfId="0" applyFill="1"/>
    <xf numFmtId="164" fontId="0" fillId="0" borderId="0" xfId="0" applyNumberFormat="1"/>
    <xf numFmtId="164" fontId="0" fillId="3" borderId="0" xfId="0" applyNumberFormat="1" applyFill="1"/>
    <xf numFmtId="9" fontId="0" fillId="0" borderId="0" xfId="0" applyNumberFormat="1"/>
    <xf numFmtId="9" fontId="0" fillId="3" borderId="0" xfId="0" applyNumberForma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4" width="22" customWidth="1"/>
    <col min="5" max="5" width="14" customWidth="1"/>
    <col min="6" max="6" width="20" customWidth="1"/>
    <col min="7" max="7" width="4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" x14ac:dyDescent="0.25">
      <c r="A2" t="s">
        <v>7</v>
      </c>
    </row>
    <row r="3" spans="1:1" x14ac:dyDescent="0.25">
      <c r="A3" s="3" t="s">
        <v>8</v>
      </c>
    </row>
    <row r="4" spans="1:1" x14ac:dyDescent="0.25">
      <c r="A4" t="s">
        <v>9</v>
      </c>
    </row>
    <row r="5" spans="1:1" x14ac:dyDescent="0.25">
      <c r="A5" s="3" t="s">
        <v>10</v>
      </c>
    </row>
    <row r="6" spans="1:1" x14ac:dyDescent="0.25">
      <c r="A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6" customWidth="1"/>
    <col min="3" max="3" width="10" customWidth="1"/>
    <col min="4" max="4" width="12" customWidth="1"/>
    <col min="5" max="5" width="10" customWidth="1"/>
    <col min="6" max="6" width="14" customWidth="1"/>
    <col min="7" max="8" width="10" customWidth="1"/>
    <col min="9" max="10" width="40" customWidth="1"/>
    <col min="11" max="11" width="16" customWidth="1"/>
  </cols>
  <sheetData>
    <row r="1" spans="1:11" s="1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</row>
    <row r="2" spans="1:5" x14ac:dyDescent="0.25">
      <c r="A2" t="s">
        <v>7</v>
      </c>
      <c r="B2" t="s">
        <v>23</v>
      </c>
      <c r="C2">
        <v>3</v>
      </c>
      <c r="E2" s="4">
        <f>IF(D2="","",(VALUE(LEFT(D2,FIND(":",D2)-1))*60+VALUE(MID(D2,FIND(":",D2)+1,2)))/60)</f>
      </c>
    </row>
    <row r="3" spans="1:5" x14ac:dyDescent="0.25">
      <c r="A3" s="3" t="s">
        <v>7</v>
      </c>
      <c r="B3" s="3" t="s">
        <v>24</v>
      </c>
      <c r="C3" s="3">
        <v>4</v>
      </c>
      <c r="D3" s="3"/>
      <c r="E3" s="5">
        <f>IF(D3="","",(VALUE(LEFT(D3,FIND(":",D3)-1))*60+VALUE(MID(D3,FIND(":",D3)+1,2)))/60)</f>
      </c>
    </row>
    <row r="4" spans="1:5" x14ac:dyDescent="0.25">
      <c r="A4" t="s">
        <v>7</v>
      </c>
      <c r="B4" t="s">
        <v>25</v>
      </c>
      <c r="C4">
        <v>3</v>
      </c>
      <c r="E4" s="4">
        <f>IF(D4="","",(VALUE(LEFT(D4,FIND(":",D4)-1))*60+VALUE(MID(D4,FIND(":",D4)+1,2)))/60)</f>
      </c>
    </row>
    <row r="5" spans="1:5" x14ac:dyDescent="0.25">
      <c r="A5" s="3" t="s">
        <v>7</v>
      </c>
      <c r="B5" s="3" t="s">
        <v>26</v>
      </c>
      <c r="C5" s="3">
        <v>5</v>
      </c>
      <c r="D5" s="3"/>
      <c r="E5" s="5">
        <f>IF(D5="","",(VALUE(LEFT(D5,FIND(":",D5)-1))*60+VALUE(MID(D5,FIND(":",D5)+1,2)))/60)</f>
      </c>
    </row>
    <row r="6" spans="1:5" x14ac:dyDescent="0.25">
      <c r="A6" t="s">
        <v>7</v>
      </c>
      <c r="B6" t="s">
        <v>27</v>
      </c>
      <c r="C6">
        <v>3</v>
      </c>
      <c r="E6" s="4">
        <f>IF(D6="","",(VALUE(LEFT(D6,FIND(":",D6)-1))*60+VALUE(MID(D6,FIND(":",D6)+1,2)))/60)</f>
      </c>
    </row>
    <row r="7" spans="1:5" x14ac:dyDescent="0.25">
      <c r="A7" s="3" t="s">
        <v>8</v>
      </c>
      <c r="B7" s="3" t="s">
        <v>23</v>
      </c>
      <c r="C7" s="3">
        <v>3</v>
      </c>
      <c r="D7" s="3"/>
      <c r="E7" s="5">
        <f>IF(D7="","",(VALUE(LEFT(D7,FIND(":",D7)-1))*60+VALUE(MID(D7,FIND(":",D7)+1,2)))/60)</f>
      </c>
    </row>
    <row r="8" spans="1:5" x14ac:dyDescent="0.25">
      <c r="A8" t="s">
        <v>8</v>
      </c>
      <c r="B8" t="s">
        <v>24</v>
      </c>
      <c r="C8">
        <v>4</v>
      </c>
      <c r="E8" s="4">
        <f>IF(D8="","",(VALUE(LEFT(D8,FIND(":",D8)-1))*60+VALUE(MID(D8,FIND(":",D8)+1,2)))/60)</f>
      </c>
    </row>
    <row r="9" spans="1:5" x14ac:dyDescent="0.25">
      <c r="A9" s="3" t="s">
        <v>8</v>
      </c>
      <c r="B9" s="3" t="s">
        <v>25</v>
      </c>
      <c r="C9" s="3">
        <v>3</v>
      </c>
      <c r="D9" s="3"/>
      <c r="E9" s="5">
        <f>IF(D9="","",(VALUE(LEFT(D9,FIND(":",D9)-1))*60+VALUE(MID(D9,FIND(":",D9)+1,2)))/60)</f>
      </c>
    </row>
    <row r="10" spans="1:5" x14ac:dyDescent="0.25">
      <c r="A10" t="s">
        <v>8</v>
      </c>
      <c r="B10" t="s">
        <v>26</v>
      </c>
      <c r="C10">
        <v>5</v>
      </c>
      <c r="E10" s="4">
        <f>IF(D10="","",(VALUE(LEFT(D10,FIND(":",D10)-1))*60+VALUE(MID(D10,FIND(":",D10)+1,2)))/60)</f>
      </c>
    </row>
    <row r="11" spans="1:5" x14ac:dyDescent="0.25">
      <c r="A11" s="3" t="s">
        <v>8</v>
      </c>
      <c r="B11" s="3" t="s">
        <v>27</v>
      </c>
      <c r="C11" s="3">
        <v>3</v>
      </c>
      <c r="D11" s="3"/>
      <c r="E11" s="5">
        <f>IF(D11="","",(VALUE(LEFT(D11,FIND(":",D11)-1))*60+VALUE(MID(D11,FIND(":",D11)+1,2)))/60)</f>
      </c>
    </row>
    <row r="12" spans="1:5" x14ac:dyDescent="0.25">
      <c r="A12" t="s">
        <v>9</v>
      </c>
      <c r="B12" t="s">
        <v>23</v>
      </c>
      <c r="C12">
        <v>3</v>
      </c>
      <c r="E12" s="4">
        <f>IF(D12="","",(VALUE(LEFT(D12,FIND(":",D12)-1))*60+VALUE(MID(D12,FIND(":",D12)+1,2)))/60)</f>
      </c>
    </row>
    <row r="13" spans="1:5" x14ac:dyDescent="0.25">
      <c r="A13" s="3" t="s">
        <v>9</v>
      </c>
      <c r="B13" s="3" t="s">
        <v>24</v>
      </c>
      <c r="C13" s="3">
        <v>4</v>
      </c>
      <c r="D13" s="3"/>
      <c r="E13" s="5">
        <f>IF(D13="","",(VALUE(LEFT(D13,FIND(":",D13)-1))*60+VALUE(MID(D13,FIND(":",D13)+1,2)))/60)</f>
      </c>
    </row>
    <row r="14" spans="1:5" x14ac:dyDescent="0.25">
      <c r="A14" t="s">
        <v>9</v>
      </c>
      <c r="B14" t="s">
        <v>25</v>
      </c>
      <c r="C14">
        <v>3</v>
      </c>
      <c r="E14" s="4">
        <f>IF(D14="","",(VALUE(LEFT(D14,FIND(":",D14)-1))*60+VALUE(MID(D14,FIND(":",D14)+1,2)))/60)</f>
      </c>
    </row>
    <row r="15" spans="1:5" x14ac:dyDescent="0.25">
      <c r="A15" s="3" t="s">
        <v>9</v>
      </c>
      <c r="B15" s="3" t="s">
        <v>26</v>
      </c>
      <c r="C15" s="3">
        <v>5</v>
      </c>
      <c r="D15" s="3"/>
      <c r="E15" s="5">
        <f>IF(D15="","",(VALUE(LEFT(D15,FIND(":",D15)-1))*60+VALUE(MID(D15,FIND(":",D15)+1,2)))/60)</f>
      </c>
    </row>
    <row r="16" spans="1:5" x14ac:dyDescent="0.25">
      <c r="A16" t="s">
        <v>9</v>
      </c>
      <c r="B16" t="s">
        <v>27</v>
      </c>
      <c r="C16">
        <v>3</v>
      </c>
      <c r="E16" s="4">
        <f>IF(D16="","",(VALUE(LEFT(D16,FIND(":",D16)-1))*60+VALUE(MID(D16,FIND(":",D16)+1,2)))/60)</f>
      </c>
    </row>
    <row r="17" spans="1:5" x14ac:dyDescent="0.25">
      <c r="A17" s="3" t="s">
        <v>10</v>
      </c>
      <c r="B17" s="3" t="s">
        <v>23</v>
      </c>
      <c r="C17" s="3">
        <v>3</v>
      </c>
      <c r="D17" s="3"/>
      <c r="E17" s="5">
        <f>IF(D17="","",(VALUE(LEFT(D17,FIND(":",D17)-1))*60+VALUE(MID(D17,FIND(":",D17)+1,2)))/60)</f>
      </c>
    </row>
    <row r="18" spans="1:5" x14ac:dyDescent="0.25">
      <c r="A18" t="s">
        <v>10</v>
      </c>
      <c r="B18" t="s">
        <v>24</v>
      </c>
      <c r="C18">
        <v>4</v>
      </c>
      <c r="E18" s="4">
        <f>IF(D18="","",(VALUE(LEFT(D18,FIND(":",D18)-1))*60+VALUE(MID(D18,FIND(":",D18)+1,2)))/60)</f>
      </c>
    </row>
    <row r="19" spans="1:5" x14ac:dyDescent="0.25">
      <c r="A19" s="3" t="s">
        <v>10</v>
      </c>
      <c r="B19" s="3" t="s">
        <v>25</v>
      </c>
      <c r="C19" s="3">
        <v>3</v>
      </c>
      <c r="D19" s="3"/>
      <c r="E19" s="5">
        <f>IF(D19="","",(VALUE(LEFT(D19,FIND(":",D19)-1))*60+VALUE(MID(D19,FIND(":",D19)+1,2)))/60)</f>
      </c>
    </row>
    <row r="20" spans="1:5" x14ac:dyDescent="0.25">
      <c r="A20" t="s">
        <v>10</v>
      </c>
      <c r="B20" t="s">
        <v>26</v>
      </c>
      <c r="C20">
        <v>5</v>
      </c>
      <c r="E20" s="4">
        <f>IF(D20="","",(VALUE(LEFT(D20,FIND(":",D20)-1))*60+VALUE(MID(D20,FIND(":",D20)+1,2)))/60)</f>
      </c>
    </row>
    <row r="21" spans="1:5" x14ac:dyDescent="0.25">
      <c r="A21" s="3" t="s">
        <v>10</v>
      </c>
      <c r="B21" s="3" t="s">
        <v>27</v>
      </c>
      <c r="C21" s="3">
        <v>3</v>
      </c>
      <c r="D21" s="3"/>
      <c r="E21" s="5">
        <f>IF(D21="","",(VALUE(LEFT(D21,FIND(":",D21)-1))*60+VALUE(MID(D21,FIND(":",D21)+1,2)))/60)</f>
      </c>
    </row>
    <row r="22" spans="1:5" x14ac:dyDescent="0.25">
      <c r="A22" t="s">
        <v>11</v>
      </c>
      <c r="B22" t="s">
        <v>23</v>
      </c>
      <c r="C22">
        <v>3</v>
      </c>
      <c r="E22" s="4">
        <f>IF(D22="","",(VALUE(LEFT(D22,FIND(":",D22)-1))*60+VALUE(MID(D22,FIND(":",D22)+1,2)))/60)</f>
      </c>
    </row>
    <row r="23" spans="1:5" x14ac:dyDescent="0.25">
      <c r="A23" s="3" t="s">
        <v>11</v>
      </c>
      <c r="B23" s="3" t="s">
        <v>24</v>
      </c>
      <c r="C23" s="3">
        <v>4</v>
      </c>
      <c r="D23" s="3"/>
      <c r="E23" s="5">
        <f>IF(D23="","",(VALUE(LEFT(D23,FIND(":",D23)-1))*60+VALUE(MID(D23,FIND(":",D23)+1,2)))/60)</f>
      </c>
    </row>
    <row r="24" spans="1:5" x14ac:dyDescent="0.25">
      <c r="A24" t="s">
        <v>11</v>
      </c>
      <c r="B24" t="s">
        <v>25</v>
      </c>
      <c r="C24">
        <v>3</v>
      </c>
      <c r="E24" s="4">
        <f>IF(D24="","",(VALUE(LEFT(D24,FIND(":",D24)-1))*60+VALUE(MID(D24,FIND(":",D24)+1,2)))/60)</f>
      </c>
    </row>
    <row r="25" spans="1:5" x14ac:dyDescent="0.25">
      <c r="A25" s="3" t="s">
        <v>11</v>
      </c>
      <c r="B25" s="3" t="s">
        <v>26</v>
      </c>
      <c r="C25" s="3">
        <v>5</v>
      </c>
      <c r="D25" s="3"/>
      <c r="E25" s="5">
        <f>IF(D25="","",(VALUE(LEFT(D25,FIND(":",D25)-1))*60+VALUE(MID(D25,FIND(":",D25)+1,2)))/60)</f>
      </c>
    </row>
    <row r="26" spans="1:5" x14ac:dyDescent="0.25">
      <c r="A26" t="s">
        <v>11</v>
      </c>
      <c r="B26" t="s">
        <v>27</v>
      </c>
      <c r="C26">
        <v>3</v>
      </c>
      <c r="E26" s="4">
        <f>IF(D26="","",(VALUE(LEFT(D26,FIND(":",D26)-1))*60+VALUE(MID(D26,FIND(":",D26)+1,2)))/60)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6" customWidth="1"/>
    <col min="12" max="12" width="12" customWidth="1"/>
  </cols>
  <sheetData>
    <row r="1" spans="1:12" s="1" customFormat="1" x14ac:dyDescent="0.25">
      <c r="A1" s="2" t="s">
        <v>12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</row>
    <row r="2" spans="1:12" x14ac:dyDescent="0.25">
      <c r="A2" t="s">
        <v>7</v>
      </c>
      <c r="L2" s="4">
        <f>IF(COUNT(B2:K2)&lt;10,"",((B2-1)+(D2-1)+(F2-1)+(H2-1)+(J2-1)+(5-C2)+(5-E2)+(5-G2)+(5-I2)+(5-K2))*2.5)</f>
      </c>
    </row>
    <row r="3" spans="1:12" x14ac:dyDescent="0.25">
      <c r="A3" s="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5">
        <f>IF(COUNT(B3:K3)&lt;10,"",((B3-1)+(D3-1)+(F3-1)+(H3-1)+(J3-1)+(5-C3)+(5-E3)+(5-G3)+(5-I3)+(5-K3))*2.5)</f>
      </c>
    </row>
    <row r="4" spans="1:12" x14ac:dyDescent="0.25">
      <c r="A4" t="s">
        <v>9</v>
      </c>
      <c r="L4" s="4">
        <f>IF(COUNT(B4:K4)&lt;10,"",((B4-1)+(D4-1)+(F4-1)+(H4-1)+(J4-1)+(5-C4)+(5-E4)+(5-G4)+(5-I4)+(5-K4))*2.5)</f>
      </c>
    </row>
    <row r="5" spans="1:12" x14ac:dyDescent="0.25">
      <c r="A5" s="3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5">
        <f>IF(COUNT(B5:K5)&lt;10,"",((B5-1)+(D5-1)+(F5-1)+(H5-1)+(J5-1)+(5-C5)+(5-E5)+(5-G5)+(5-I5)+(5-K5))*2.5)</f>
      </c>
    </row>
    <row r="6" spans="1:12" x14ac:dyDescent="0.25">
      <c r="A6" t="s">
        <v>11</v>
      </c>
      <c r="L6" s="4">
        <f>IF(COUNT(B6:K6)&lt;10,"",((B6-1)+(D6-1)+(F6-1)+(H6-1)+(J6-1)+(5-C6)+(5-E6)+(5-G6)+(5-I6)+(5-K6))*2.5)</f>
      </c>
    </row>
    <row r="8" spans="1:1" x14ac:dyDescent="0.25">
      <c r="A8" t="s">
        <v>39</v>
      </c>
    </row>
    <row r="9" spans="1:2" x14ac:dyDescent="0.25">
      <c r="A9" s="3" t="s">
        <v>28</v>
      </c>
      <c r="B9" s="3" t="s">
        <v>40</v>
      </c>
    </row>
    <row r="10" spans="1:2" x14ac:dyDescent="0.25">
      <c r="A10" t="s">
        <v>29</v>
      </c>
      <c r="B10" t="s">
        <v>41</v>
      </c>
    </row>
    <row r="11" spans="1:2" x14ac:dyDescent="0.25">
      <c r="A11" s="3" t="s">
        <v>30</v>
      </c>
      <c r="B11" s="3" t="s">
        <v>42</v>
      </c>
    </row>
    <row r="12" spans="1:2" x14ac:dyDescent="0.25">
      <c r="A12" t="s">
        <v>31</v>
      </c>
      <c r="B12" t="s">
        <v>43</v>
      </c>
    </row>
    <row r="13" spans="1:2" x14ac:dyDescent="0.25">
      <c r="A13" s="3" t="s">
        <v>32</v>
      </c>
      <c r="B13" s="3" t="s">
        <v>44</v>
      </c>
    </row>
    <row r="14" spans="1:2" x14ac:dyDescent="0.25">
      <c r="A14" t="s">
        <v>33</v>
      </c>
      <c r="B14" t="s">
        <v>45</v>
      </c>
    </row>
    <row r="15" spans="1:2" x14ac:dyDescent="0.25">
      <c r="A15" s="3" t="s">
        <v>34</v>
      </c>
      <c r="B15" s="3" t="s">
        <v>46</v>
      </c>
    </row>
    <row r="16" spans="1:2" x14ac:dyDescent="0.25">
      <c r="A16" t="s">
        <v>35</v>
      </c>
      <c r="B16" t="s">
        <v>47</v>
      </c>
    </row>
    <row r="17" spans="1:2" x14ac:dyDescent="0.25">
      <c r="A17" s="3" t="s">
        <v>36</v>
      </c>
      <c r="B17" s="3" t="s">
        <v>48</v>
      </c>
    </row>
    <row r="18" spans="1:2" x14ac:dyDescent="0.25">
      <c r="A18" t="s">
        <v>37</v>
      </c>
      <c r="B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46" customWidth="1"/>
    <col min="2" max="4" width="12" customWidth="1"/>
    <col min="5" max="5" width="10" customWidth="1"/>
    <col min="6" max="6" width="12" customWidth="1"/>
  </cols>
  <sheetData>
    <row r="1" spans="1:6" s="1" customFormat="1" x14ac:dyDescent="0.25">
      <c r="A1" s="2" t="s">
        <v>13</v>
      </c>
      <c r="B1" s="2" t="s">
        <v>14</v>
      </c>
      <c r="C1" s="2" t="s">
        <v>50</v>
      </c>
      <c r="D1" s="2" t="s">
        <v>51</v>
      </c>
      <c r="E1" s="2" t="s">
        <v>52</v>
      </c>
      <c r="F1" s="2" t="s">
        <v>53</v>
      </c>
    </row>
    <row r="2" spans="1:6" x14ac:dyDescent="0.25">
      <c r="A2" t="s">
        <v>23</v>
      </c>
      <c r="B2">
        <v>3</v>
      </c>
      <c r="C2" s="4">
        <f>IFERROR(AVERAGEIF(Tarefas!B2:B26,A2,Tarefas!E2:E26),"")</f>
      </c>
      <c r="D2" s="6">
        <f>IFERROR(COUNTIFS(Tarefas!B2:B26,A2,Tarefas!F2:F26,"sim")/COUNTIFS(Tarefas!B2:B26,A2,Tarefas!F2:F26,"&lt;&gt;"),"")</f>
      </c>
      <c r="E2" s="4">
        <f>IFERROR(AVERAGEIF(Tarefas!B2:B26,A2,Tarefas!G2:G26),"")</f>
      </c>
      <c r="F2">
        <f>SUMIF(Tarefas!B2:B26,A2,Tarefas!H2:H26)</f>
      </c>
    </row>
    <row r="3" spans="1:6" x14ac:dyDescent="0.25">
      <c r="A3" s="3" t="s">
        <v>24</v>
      </c>
      <c r="B3" s="3">
        <v>4</v>
      </c>
      <c r="C3" s="5">
        <f>IFERROR(AVERAGEIF(Tarefas!B2:B26,A3,Tarefas!E2:E26),"")</f>
      </c>
      <c r="D3" s="7">
        <f>IFERROR(COUNTIFS(Tarefas!B2:B26,A3,Tarefas!F2:F26,"sim")/COUNTIFS(Tarefas!B2:B26,A3,Tarefas!F2:F26,"&lt;&gt;"),"")</f>
      </c>
      <c r="E3" s="5">
        <f>IFERROR(AVERAGEIF(Tarefas!B2:B26,A3,Tarefas!G2:G26),"")</f>
      </c>
      <c r="F3" s="3">
        <f>SUMIF(Tarefas!B2:B26,A3,Tarefas!H2:H26)</f>
      </c>
    </row>
    <row r="4" spans="1:6" x14ac:dyDescent="0.25">
      <c r="A4" t="s">
        <v>25</v>
      </c>
      <c r="B4">
        <v>3</v>
      </c>
      <c r="C4" s="4">
        <f>IFERROR(AVERAGEIF(Tarefas!B2:B26,A4,Tarefas!E2:E26),"")</f>
      </c>
      <c r="D4" s="6">
        <f>IFERROR(COUNTIFS(Tarefas!B2:B26,A4,Tarefas!F2:F26,"sim")/COUNTIFS(Tarefas!B2:B26,A4,Tarefas!F2:F26,"&lt;&gt;"),"")</f>
      </c>
      <c r="E4" s="4">
        <f>IFERROR(AVERAGEIF(Tarefas!B2:B26,A4,Tarefas!G2:G26),"")</f>
      </c>
      <c r="F4">
        <f>SUMIF(Tarefas!B2:B26,A4,Tarefas!H2:H26)</f>
      </c>
    </row>
    <row r="5" spans="1:6" x14ac:dyDescent="0.25">
      <c r="A5" s="3" t="s">
        <v>26</v>
      </c>
      <c r="B5" s="3">
        <v>5</v>
      </c>
      <c r="C5" s="5">
        <f>IFERROR(AVERAGEIF(Tarefas!B2:B26,A5,Tarefas!E2:E26),"")</f>
      </c>
      <c r="D5" s="7">
        <f>IFERROR(COUNTIFS(Tarefas!B2:B26,A5,Tarefas!F2:F26,"sim")/COUNTIFS(Tarefas!B2:B26,A5,Tarefas!F2:F26,"&lt;&gt;"),"")</f>
      </c>
      <c r="E5" s="5">
        <f>IFERROR(AVERAGEIF(Tarefas!B2:B26,A5,Tarefas!G2:G26),"")</f>
      </c>
      <c r="F5" s="3">
        <f>SUMIF(Tarefas!B2:B26,A5,Tarefas!H2:H26)</f>
      </c>
    </row>
    <row r="6" spans="1:6" x14ac:dyDescent="0.25">
      <c r="A6" t="s">
        <v>27</v>
      </c>
      <c r="B6">
        <v>3</v>
      </c>
      <c r="C6" s="4">
        <f>IFERROR(AVERAGEIF(Tarefas!B2:B26,A6,Tarefas!E2:E26),"")</f>
      </c>
      <c r="D6" s="6">
        <f>IFERROR(COUNTIFS(Tarefas!B2:B26,A6,Tarefas!F2:F26,"sim")/COUNTIFS(Tarefas!B2:B26,A6,Tarefas!F2:F26,"&lt;&gt;"),"")</f>
      </c>
      <c r="E6" s="4">
        <f>IFERROR(AVERAGEIF(Tarefas!B2:B26,A6,Tarefas!G2:G26),"")</f>
      </c>
      <c r="F6">
        <f>SUMIF(Tarefas!B2:B26,A6,Tarefas!H2:H26)</f>
      </c>
    </row>
    <row r="8" spans="1:3" s="8" customFormat="1" x14ac:dyDescent="0.25">
      <c r="A8" s="8" t="s">
        <v>54</v>
      </c>
      <c r="B8" s="8" t="s">
        <v>55</v>
      </c>
      <c r="C8" s="9">
        <f>IFERROR(AVERAGE(SUS!L2:L6),"")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Participantes</vt:lpstr>
      <vt:lpstr>Tarefas</vt:lpstr>
      <vt:lpstr>SUS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SIAP SEDS/GO</dc:creator>
  <dc:title/>
  <dc:subject/>
  <dc:description/>
  <cp:keywords/>
  <cp:category/>
  <cp:lastModifiedBy>Unknown</cp:lastModifiedBy>
  <dcterms:created xsi:type="dcterms:W3CDTF">2026-10-17T13:46:54Z</dcterms:created>
  <dcterms:modified xsi:type="dcterms:W3CDTF">2026-10-17T13:46:54Z</dcterms:modified>
</cp:coreProperties>
</file>